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s Jan-Mar" sheetId="1" state="visible" r:id="rId3"/>
    <sheet name="Calendário Abril" sheetId="2" state="visible" r:id="rId4"/>
    <sheet name="Backlog Ide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<sst xmlns="http://schemas.openxmlformats.org/spreadsheetml/2006/main" count="245" uniqueCount="164">
  <si>
    <t xml:space="preserve">⚠ PLANILHA EM CONSTRUÇÃO — dados de março incompletos, stories não medidos sistematicamente</t>
  </si>
  <si>
    <t xml:space="preserve">DATA</t>
  </si>
  <si>
    <t xml:space="preserve">FORMATO</t>
  </si>
  <si>
    <t xml:space="preserve">TEMA / ASSUNTO</t>
  </si>
  <si>
    <t xml:space="preserve">STATUS</t>
  </si>
  <si>
    <t xml:space="preserve">VIEWS</t>
  </si>
  <si>
    <t xml:space="preserve">ALCANCE</t>
  </si>
  <si>
    <t xml:space="preserve">SALVOS</t>
  </si>
  <si>
    <t xml:space="preserve">SALVOS %</t>
  </si>
  <si>
    <t xml:space="preserve">COMPARTILHAMENTOS</t>
  </si>
  <si>
    <t xml:space="preserve">COMENTÁRIOS</t>
  </si>
  <si>
    <t xml:space="preserve">CURTIDAS</t>
  </si>
  <si>
    <t xml:space="preserve">HOOK (1-5)</t>
  </si>
  <si>
    <t xml:space="preserve">OBSERVAÇÃO</t>
  </si>
  <si>
    <t xml:space="preserve">AÇÃO</t>
  </si>
  <si>
    <t xml:space="preserve">03/01</t>
  </si>
  <si>
    <t xml:space="preserve">Reel</t>
  </si>
  <si>
    <t xml:space="preserve">Por que eu parei de usar o Canva</t>
  </si>
  <si>
    <t xml:space="preserve">Publicado</t>
  </si>
  <si>
    <t xml:space="preserve">Abaixo do esperado — hook fraco demais</t>
  </si>
  <si>
    <t xml:space="preserve">Reutilizar tema com hook melhor</t>
  </si>
  <si>
    <t xml:space="preserve">07/01</t>
  </si>
  <si>
    <t xml:space="preserve">Carrossel</t>
  </si>
  <si>
    <t xml:space="preserve">5 erros que cometi no 1o ano</t>
  </si>
  <si>
    <t xml:space="preserve">views não registrado, esqueci</t>
  </si>
  <si>
    <t xml:space="preserve">10/01</t>
  </si>
  <si>
    <t xml:space="preserve">Rotina de gravação real</t>
  </si>
  <si>
    <t xml:space="preserve">Melhor da semana — bastidor funciona</t>
  </si>
  <si>
    <t xml:space="preserve">Fazer série de bastidor</t>
  </si>
  <si>
    <t xml:space="preserve">14/01</t>
  </si>
  <si>
    <t xml:space="preserve">Story</t>
  </si>
  <si>
    <t xml:space="preserve">Pergunta: qual sua maior dificuldade?</t>
  </si>
  <si>
    <t xml:space="preserve">só respostas — 88 interações</t>
  </si>
  <si>
    <t xml:space="preserve">17/01</t>
  </si>
  <si>
    <t xml:space="preserve">Hook: você está perdendo dinheiro</t>
  </si>
  <si>
    <t xml:space="preserve">Melhor do mês — hook forte</t>
  </si>
  <si>
    <t xml:space="preserve">21/01</t>
  </si>
  <si>
    <t xml:space="preserve">Ferramentas que uso todo dia</t>
  </si>
  <si>
    <t xml:space="preserve">views sumiu do analytics (bug?)</t>
  </si>
  <si>
    <t xml:space="preserve">Reportar pro suporte</t>
  </si>
  <si>
    <t xml:space="preserve">24/01</t>
  </si>
  <si>
    <t xml:space="preserve">Tema a definir</t>
  </si>
  <si>
    <t xml:space="preserve">CANCELADO</t>
  </si>
  <si>
    <t xml:space="preserve">semana sobrecarregada</t>
  </si>
  <si>
    <t xml:space="preserve">28/01</t>
  </si>
  <si>
    <t xml:space="preserve">Como eu planejo meu conteúdo</t>
  </si>
  <si>
    <t xml:space="preserve">04/02</t>
  </si>
  <si>
    <t xml:space="preserve">Meu setup de gravação</t>
  </si>
  <si>
    <t xml:space="preserve">Viral! Equipamento sempre performa</t>
  </si>
  <si>
    <t xml:space="preserve">Fazer mais sobre setup</t>
  </si>
  <si>
    <t xml:space="preserve">07/02</t>
  </si>
  <si>
    <t xml:space="preserve">Guia de copywriting p/ iniciantes</t>
  </si>
  <si>
    <t xml:space="preserve">carrossel de guia = salvos altos sempre</t>
  </si>
  <si>
    <t xml:space="preserve">11/02</t>
  </si>
  <si>
    <t xml:space="preserve">???</t>
  </si>
  <si>
    <t xml:space="preserve">não lembro o tema, ver no insta</t>
  </si>
  <si>
    <t xml:space="preserve">Anotar temas sempre</t>
  </si>
  <si>
    <t xml:space="preserve">14/02</t>
  </si>
  <si>
    <t xml:space="preserve">Valentim — conteúdo emocional</t>
  </si>
  <si>
    <t xml:space="preserve">data especial ajudou</t>
  </si>
  <si>
    <t xml:space="preserve">18/02</t>
  </si>
  <si>
    <t xml:space="preserve">Passo a passo: da ideia ao post</t>
  </si>
  <si>
    <t xml:space="preserve">melhor carrossel do trimestre</t>
  </si>
  <si>
    <t xml:space="preserve">21/02</t>
  </si>
  <si>
    <t xml:space="preserve">Erros de linguagem que destroem autoridade</t>
  </si>
  <si>
    <t xml:space="preserve">25/02</t>
  </si>
  <si>
    <t xml:space="preserve">[não gravado — atrasou]</t>
  </si>
  <si>
    <t xml:space="preserve">ATRASADO</t>
  </si>
  <si>
    <t xml:space="preserve">semana caótica</t>
  </si>
  <si>
    <t xml:space="preserve">Compensar semana seguinte</t>
  </si>
  <si>
    <t xml:space="preserve">04/03</t>
  </si>
  <si>
    <t xml:space="preserve">Como criar conteúdo em 2h por semana</t>
  </si>
  <si>
    <t xml:space="preserve">07/03</t>
  </si>
  <si>
    <t xml:space="preserve">Métricas que importam (e as que não importam)</t>
  </si>
  <si>
    <t xml:space="preserve">tema relevante — salvo alto</t>
  </si>
  <si>
    <t xml:space="preserve">11/03</t>
  </si>
  <si>
    <t xml:space="preserve">PENDENTE</t>
  </si>
  <si>
    <t xml:space="preserve">Em produção</t>
  </si>
  <si>
    <t xml:space="preserve">editora entregando quinta</t>
  </si>
  <si>
    <t xml:space="preserve">14/03</t>
  </si>
  <si>
    <t xml:space="preserve">18/03</t>
  </si>
  <si>
    <t xml:space="preserve">[a definir]</t>
  </si>
  <si>
    <t xml:space="preserve">Planejado</t>
  </si>
  <si>
    <t xml:space="preserve">TOTAIS / MÉDIAS</t>
  </si>
  <si>
    <t xml:space="preserve">CALENDÁRIO EDITORIAL — ABRIL 2026</t>
  </si>
  <si>
    <t xml:space="preserve">ATENÇÃO: esse calendário tá incompleto. Semanas 3 e 4 em aberto.</t>
  </si>
  <si>
    <t xml:space="preserve">SEMANA</t>
  </si>
  <si>
    <t xml:space="preserve">TEMA</t>
  </si>
  <si>
    <t xml:space="preserve">RESPONSÁVEL</t>
  </si>
  <si>
    <t xml:space="preserve">LINK</t>
  </si>
  <si>
    <t xml:space="preserve">Sem 1</t>
  </si>
  <si>
    <t xml:space="preserve">31/03</t>
  </si>
  <si>
    <t xml:space="preserve">Produtividade creator — ainda escolhendo ângulo</t>
  </si>
  <si>
    <t xml:space="preserve">Michel</t>
  </si>
  <si>
    <t xml:space="preserve">PLANEJADO</t>
  </si>
  <si>
    <t xml:space="preserve">01/04</t>
  </si>
  <si>
    <t xml:space="preserve">5 erros que eu cometi (esse tá atrasado desde fev!)</t>
  </si>
  <si>
    <t xml:space="preserve">Carol edita</t>
  </si>
  <si>
    <t xml:space="preserve">EM ATRASO</t>
  </si>
  <si>
    <t xml:space="preserve">03/04</t>
  </si>
  <si>
    <t xml:space="preserve">Bastidor semana / reposta pergunta</t>
  </si>
  <si>
    <t xml:space="preserve">RECORRENTE</t>
  </si>
  <si>
    <t xml:space="preserve">Sem 2</t>
  </si>
  <si>
    <t xml:space="preserve">07/04</t>
  </si>
  <si>
    <t xml:space="preserve">Ferramenta do mês (qual?? não decidi ainda)</t>
  </si>
  <si>
    <t xml:space="preserve">EM ABERTO</t>
  </si>
  <si>
    <t xml:space="preserve">09/04</t>
  </si>
  <si>
    <t xml:space="preserve">Copywriting — alguma coisa (ver backlog)</t>
  </si>
  <si>
    <t xml:space="preserve">10/04</t>
  </si>
  <si>
    <t xml:space="preserve">Sem 3</t>
  </si>
  <si>
    <t xml:space="preserve">14/04</t>
  </si>
  <si>
    <t xml:space="preserve">(semana deixei em branco)</t>
  </si>
  <si>
    <t xml:space="preserve">15/04</t>
  </si>
  <si>
    <t xml:space="preserve">17/04</t>
  </si>
  <si>
    <t xml:space="preserve">Sem 4</t>
  </si>
  <si>
    <t xml:space="preserve">22/04</t>
  </si>
  <si>
    <t xml:space="preserve">Bastidor de como gravo</t>
  </si>
  <si>
    <t xml:space="preserve">24/04</t>
  </si>
  <si>
    <t xml:space="preserve">25/04</t>
  </si>
  <si>
    <t xml:space="preserve">FERIADO — postar ou não?</t>
  </si>
  <si>
    <t xml:space="preserve">DÚVIDA</t>
  </si>
  <si>
    <t xml:space="preserve">BACKLOG DE IDEIAS — jogar aqui tudo que vier na cabeça</t>
  </si>
  <si>
    <t xml:space="preserve">IDEIA</t>
  </si>
  <si>
    <t xml:space="preserve">FORMATO SUGERIDO</t>
  </si>
  <si>
    <t xml:space="preserve">POTENCIAL (1-5)</t>
  </si>
  <si>
    <t xml:space="preserve">ORIGEM</t>
  </si>
  <si>
    <t xml:space="preserve">DATA ANOTADO</t>
  </si>
  <si>
    <t xml:space="preserve">Por que eu parei de usar o Reels nativo do IG (voltei pro externo)</t>
  </si>
  <si>
    <t xml:space="preserve">feedback direct</t>
  </si>
  <si>
    <t xml:space="preserve">jan/26</t>
  </si>
  <si>
    <t xml:space="preserve">já tem muita coisa sobre isso — meu ângulo precisa ser diferente</t>
  </si>
  <si>
    <t xml:space="preserve">Série temática mensal — testar em maio</t>
  </si>
  <si>
    <t xml:space="preserve">Carrossel+Reel</t>
  </si>
  <si>
    <t xml:space="preserve">mentoria gabriel</t>
  </si>
  <si>
    <t xml:space="preserve">fev/26</t>
  </si>
  <si>
    <t xml:space="preserve">risco: prender o feed num único tema por 4 semanas</t>
  </si>
  <si>
    <t xml:space="preserve">Live semanal de perguntas e respostas</t>
  </si>
  <si>
    <t xml:space="preserve">Live</t>
  </si>
  <si>
    <t xml:space="preserve">ideia própria</t>
  </si>
  <si>
    <t xml:space="preserve">não testei live ainda — deixar pra depois do 10k</t>
  </si>
  <si>
    <t xml:space="preserve">Newsletter como repositório do que postei</t>
  </si>
  <si>
    <t xml:space="preserve">Newsletter</t>
  </si>
  <si>
    <t xml:space="preserve">referência externa</t>
  </si>
  <si>
    <t xml:space="preserve">vi alguém fazendo isso bem — pesquisar mais</t>
  </si>
  <si>
    <t xml:space="preserve">Quanto ganhei no 1o ano como creator</t>
  </si>
  <si>
    <t xml:space="preserve">medo de postar — mas os números são modestos então tudo bem?</t>
  </si>
  <si>
    <t xml:space="preserve">Colaboração com [nome apagado]</t>
  </si>
  <si>
    <t xml:space="preserve">Reel/Collab</t>
  </si>
  <si>
    <t xml:space="preserve">conversa direta</t>
  </si>
  <si>
    <t xml:space="preserve">ficou pra maio — confirmar disponibilidade</t>
  </si>
  <si>
    <t xml:space="preserve">Desmistificar o algoritmo</t>
  </si>
  <si>
    <t xml:space="preserve">perguntas frequentes</t>
  </si>
  <si>
    <t xml:space="preserve">mar/26</t>
  </si>
  <si>
    <t xml:space="preserve">tem MUITO conteúdo sobre isso. meu diferencial seria: dados reais da minha conta</t>
  </si>
  <si>
    <t xml:space="preserve">Como fazer uma semana de conteúdo em 2h</t>
  </si>
  <si>
    <t xml:space="preserve">direct message</t>
  </si>
  <si>
    <t xml:space="preserve">MUITO pedido — prioridade alta</t>
  </si>
  <si>
    <t xml:space="preserve">Bastidor de uma edição do zero</t>
  </si>
  <si>
    <t xml:space="preserve">?</t>
  </si>
  <si>
    <t xml:space="preserve">ideia</t>
  </si>
  <si>
    <t xml:space="preserve">mostrar o processo da carol — pedir autorização</t>
  </si>
  <si>
    <t xml:space="preserve">Gestão de tempo pra creator — série de 3 partes</t>
  </si>
  <si>
    <t xml:space="preserve">série? ou posts separados? ver o que performa melhor</t>
  </si>
  <si>
    <t xml:space="preserve">(tinha uma ideia aqui e esqueci de anotar)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</si>
</sst>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8B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6B3A"/>
      <name val="Arial"/>
      <family val="0"/>
      <charset val="1"/>
    </font>
    <font>
      <b val="true"/>
      <sz val="10"/>
      <color rgb="FF1C2340"/>
      <name val="Arial"/>
      <family val="0"/>
      <charset val="1"/>
    </font>
    <font>
      <b val="true"/>
      <sz val="14"/>
      <color rgb="FF1C2340"/>
      <name val="Arial"/>
      <family val="0"/>
      <charset val="1"/>
    </font>
    <font>
      <i val="true"/>
      <sz val="10"/>
      <color rgb="FFE85D3A"/>
      <name val="Arial"/>
      <family val="0"/>
      <charset val="1"/>
    </font>
    <font>
      <b val="true"/>
      <sz val="12"/>
      <color rgb="FF1C234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DDCDC"/>
        <bgColor rgb="FFE8EAF5"/>
      </patternFill>
    </fill>
    <fill>
      <patternFill patternType="solid">
        <fgColor rgb="FF1C2340"/>
        <bgColor rgb="FF1A1A2E"/>
      </patternFill>
    </fill>
    <fill>
      <patternFill patternType="solid">
        <fgColor rgb="FFF2F2F7"/>
        <bgColor rgb="FFE8EAF5"/>
      </patternFill>
    </fill>
    <fill>
      <patternFill patternType="solid">
        <fgColor rgb="FFFFFFFF"/>
        <bgColor rgb="FFF2F2F7"/>
      </patternFill>
    </fill>
    <fill>
      <patternFill patternType="solid">
        <fgColor rgb="FFD6F0E0"/>
        <bgColor rgb="FFE8EAF5"/>
      </patternFill>
    </fill>
    <fill>
      <patternFill patternType="solid">
        <fgColor rgb="FFFFF3CC"/>
        <bgColor rgb="FFF2F2F7"/>
      </patternFill>
    </fill>
    <fill>
      <patternFill patternType="solid">
        <fgColor rgb="FFE8EAF5"/>
        <bgColor rgb="FFF2F2F7"/>
      </patternFill>
    </fill>
    <fill>
      <patternFill patternType="solid">
        <fgColor rgb="FF3A4A7A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C"/>
      <rgbColor rgb="FFE8EAF5"/>
      <rgbColor rgb="FF660066"/>
      <rgbColor rgb="FFFF8080"/>
      <rgbColor rgb="FF0066CC"/>
      <rgbColor rgb="FFCCCC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7"/>
      <rgbColor rgb="FFD6F0E0"/>
      <rgbColor rgb="FFFFFF99"/>
      <rgbColor rgb="FF99CCFF"/>
      <rgbColor rgb="FFFF99CC"/>
      <rgbColor rgb="FFCC99FF"/>
      <rgbColor rgb="FFFDDCDC"/>
      <rgbColor rgb="FF3366FF"/>
      <rgbColor rgb="FF33CCCC"/>
      <rgbColor rgb="FF99CC00"/>
      <rgbColor rgb="FFFFCC00"/>
      <rgbColor rgb="FFFF9900"/>
      <rgbColor rgb="FFE85D3A"/>
      <rgbColor rgb="FF666699"/>
      <rgbColor rgb="FF969696"/>
      <rgbColor rgb="FF003366"/>
      <rgbColor rgb="FF339966"/>
      <rgbColor rgb="FF003300"/>
      <rgbColor rgb="FF1A1A2E"/>
      <rgbColor rgb="FF8B1A1A"/>
      <rgbColor rgb="FF993366"/>
      <rgbColor rgb="FF3A4A7A"/>
      <rgbColor rgb="FF1C23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38"/>
    <col collapsed="false" customWidth="true" hidden="false" outlineLevel="0" max="4" min="4" style="1" width="13"/>
    <col collapsed="false" customWidth="true" hidden="false" outlineLevel="0" max="6" min="5" style="1" width="10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16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38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1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customFormat="false" ht="27.75" hidden="false" customHeight="true" outlineLevel="0" collapsed="false">
      <c r="A3" s="4" t="s">
        <v>15</v>
      </c>
      <c r="B3" s="4" t="s">
        <v>16</v>
      </c>
      <c r="C3" s="5" t="s">
        <v>17</v>
      </c>
      <c r="D3" s="4" t="s">
        <v>18</v>
      </c>
      <c r="E3" s="4" t="n">
        <v>4200</v>
      </c>
      <c r="F3" s="4" t="n">
        <v>3800</v>
      </c>
      <c r="G3" s="4" t="n">
        <v>87</v>
      </c>
      <c r="H3" s="4" t="n">
        <f aca="false">IFERROR(G3/E3,"")</f>
        <v>0.0207142857142857</v>
      </c>
      <c r="I3" s="4" t="n">
        <v>12</v>
      </c>
      <c r="J3" s="4" t="n">
        <v>8</v>
      </c>
      <c r="K3" s="4" t="n">
        <v>210</v>
      </c>
      <c r="L3" s="4" t="n">
        <v>3</v>
      </c>
      <c r="M3" s="5" t="s">
        <v>19</v>
      </c>
      <c r="N3" s="5" t="s">
        <v>20</v>
      </c>
    </row>
    <row r="4" customFormat="false" ht="27.75" hidden="false" customHeight="true" outlineLevel="0" collapsed="false">
      <c r="A4" s="6" t="s">
        <v>21</v>
      </c>
      <c r="B4" s="6" t="s">
        <v>22</v>
      </c>
      <c r="C4" s="7" t="s">
        <v>23</v>
      </c>
      <c r="D4" s="6" t="s">
        <v>18</v>
      </c>
      <c r="E4" s="6"/>
      <c r="F4" s="6" t="n">
        <v>2100</v>
      </c>
      <c r="G4" s="6" t="n">
        <v>142</v>
      </c>
      <c r="H4" s="6" t="str">
        <f aca="false">IFERROR(G4/E4,"")</f>
        <v/>
      </c>
      <c r="I4" s="6" t="n">
        <v>45</v>
      </c>
      <c r="J4" s="6" t="n">
        <v>31</v>
      </c>
      <c r="K4" s="6" t="n">
        <v>380</v>
      </c>
      <c r="L4" s="6"/>
      <c r="M4" s="7" t="s">
        <v>24</v>
      </c>
      <c r="N4" s="7"/>
    </row>
    <row r="5" customFormat="false" ht="27.75" hidden="false" customHeight="true" outlineLevel="0" collapsed="false">
      <c r="A5" s="4" t="s">
        <v>25</v>
      </c>
      <c r="B5" s="4" t="s">
        <v>16</v>
      </c>
      <c r="C5" s="5" t="s">
        <v>26</v>
      </c>
      <c r="D5" s="4" t="s">
        <v>18</v>
      </c>
      <c r="E5" s="4" t="n">
        <v>9800</v>
      </c>
      <c r="F5" s="4" t="n">
        <v>8200</v>
      </c>
      <c r="G5" s="4" t="n">
        <v>201</v>
      </c>
      <c r="H5" s="4" t="n">
        <f aca="false">IFERROR(G5/E5,"")</f>
        <v>0.0205102040816327</v>
      </c>
      <c r="I5" s="4" t="n">
        <v>67</v>
      </c>
      <c r="J5" s="4" t="n">
        <v>42</v>
      </c>
      <c r="K5" s="4" t="n">
        <v>510</v>
      </c>
      <c r="L5" s="4" t="n">
        <v>4</v>
      </c>
      <c r="M5" s="5" t="s">
        <v>27</v>
      </c>
      <c r="N5" s="5" t="s">
        <v>28</v>
      </c>
    </row>
    <row r="6" customFormat="false" ht="27.75" hidden="false" customHeight="true" outlineLevel="0" collapsed="false">
      <c r="A6" s="6" t="s">
        <v>29</v>
      </c>
      <c r="B6" s="6" t="s">
        <v>30</v>
      </c>
      <c r="C6" s="7" t="s">
        <v>31</v>
      </c>
      <c r="D6" s="6" t="s">
        <v>18</v>
      </c>
      <c r="E6" s="6"/>
      <c r="F6" s="6"/>
      <c r="G6" s="6"/>
      <c r="H6" s="6"/>
      <c r="I6" s="6"/>
      <c r="J6" s="6" t="n">
        <v>88</v>
      </c>
      <c r="K6" s="6"/>
      <c r="L6" s="6"/>
      <c r="M6" s="7" t="s">
        <v>32</v>
      </c>
      <c r="N6" s="7"/>
    </row>
    <row r="7" customFormat="false" ht="27.75" hidden="false" customHeight="true" outlineLevel="0" collapsed="false">
      <c r="A7" s="4" t="s">
        <v>33</v>
      </c>
      <c r="B7" s="4" t="s">
        <v>16</v>
      </c>
      <c r="C7" s="5" t="s">
        <v>34</v>
      </c>
      <c r="D7" s="4" t="s">
        <v>18</v>
      </c>
      <c r="E7" s="4" t="n">
        <v>12400</v>
      </c>
      <c r="F7" s="4" t="n">
        <v>10900</v>
      </c>
      <c r="G7" s="4" t="n">
        <v>380</v>
      </c>
      <c r="H7" s="4" t="n">
        <f aca="false">IFERROR(G7/E7,"")</f>
        <v>0.0306451612903226</v>
      </c>
      <c r="I7" s="4" t="n">
        <v>92</v>
      </c>
      <c r="J7" s="4" t="n">
        <v>55</v>
      </c>
      <c r="K7" s="4" t="n">
        <v>640</v>
      </c>
      <c r="L7" s="8" t="n">
        <v>5</v>
      </c>
      <c r="M7" s="5" t="s">
        <v>35</v>
      </c>
      <c r="N7" s="5"/>
    </row>
    <row r="8" customFormat="false" ht="27.75" hidden="false" customHeight="true" outlineLevel="0" collapsed="false">
      <c r="A8" s="6" t="s">
        <v>36</v>
      </c>
      <c r="B8" s="6" t="s">
        <v>22</v>
      </c>
      <c r="C8" s="7" t="s">
        <v>37</v>
      </c>
      <c r="D8" s="6" t="s">
        <v>18</v>
      </c>
      <c r="E8" s="6"/>
      <c r="F8" s="6" t="n">
        <v>3400</v>
      </c>
      <c r="G8" s="6" t="n">
        <v>198</v>
      </c>
      <c r="H8" s="6"/>
      <c r="I8" s="6" t="n">
        <v>51</v>
      </c>
      <c r="J8" s="6" t="n">
        <v>29</v>
      </c>
      <c r="K8" s="6" t="n">
        <v>420</v>
      </c>
      <c r="L8" s="6"/>
      <c r="M8" s="7" t="s">
        <v>38</v>
      </c>
      <c r="N8" s="7" t="s">
        <v>39</v>
      </c>
    </row>
    <row r="9" customFormat="false" ht="27.75" hidden="false" customHeight="true" outlineLevel="0" collapsed="false">
      <c r="A9" s="9" t="s">
        <v>40</v>
      </c>
      <c r="B9" s="9" t="s">
        <v>16</v>
      </c>
      <c r="C9" s="10" t="s">
        <v>41</v>
      </c>
      <c r="D9" s="9" t="s">
        <v>42</v>
      </c>
      <c r="E9" s="9"/>
      <c r="F9" s="9"/>
      <c r="G9" s="9"/>
      <c r="H9" s="9"/>
      <c r="I9" s="9"/>
      <c r="J9" s="9"/>
      <c r="K9" s="9"/>
      <c r="L9" s="9"/>
      <c r="M9" s="10" t="s">
        <v>43</v>
      </c>
      <c r="N9" s="10"/>
    </row>
    <row r="10" customFormat="false" ht="27.75" hidden="false" customHeight="true" outlineLevel="0" collapsed="false">
      <c r="A10" s="6" t="s">
        <v>44</v>
      </c>
      <c r="B10" s="6" t="s">
        <v>16</v>
      </c>
      <c r="C10" s="7" t="s">
        <v>45</v>
      </c>
      <c r="D10" s="6" t="s">
        <v>18</v>
      </c>
      <c r="E10" s="6" t="n">
        <v>7200</v>
      </c>
      <c r="F10" s="6" t="n">
        <v>6100</v>
      </c>
      <c r="G10" s="6" t="n">
        <v>156</v>
      </c>
      <c r="H10" s="6" t="n">
        <f aca="false">IFERROR(G10/E10,"")</f>
        <v>0.0216666666666667</v>
      </c>
      <c r="I10" s="6" t="n">
        <v>38</v>
      </c>
      <c r="J10" s="6" t="n">
        <v>27</v>
      </c>
      <c r="K10" s="6" t="n">
        <v>390</v>
      </c>
      <c r="L10" s="6" t="n">
        <v>4</v>
      </c>
      <c r="M10" s="7"/>
      <c r="N10" s="7"/>
    </row>
    <row r="11" customFormat="false" ht="27.75" hidden="false" customHeight="true" outlineLevel="0" collapsed="false">
      <c r="A11" s="4" t="s">
        <v>46</v>
      </c>
      <c r="B11" s="4" t="s">
        <v>16</v>
      </c>
      <c r="C11" s="5" t="s">
        <v>47</v>
      </c>
      <c r="D11" s="4" t="s">
        <v>18</v>
      </c>
      <c r="E11" s="4" t="n">
        <v>15800</v>
      </c>
      <c r="F11" s="4" t="n">
        <v>13200</v>
      </c>
      <c r="G11" s="4" t="n">
        <v>290</v>
      </c>
      <c r="H11" s="4" t="n">
        <f aca="false">IFERROR(G11/E11,"")</f>
        <v>0.0183544303797468</v>
      </c>
      <c r="I11" s="4" t="n">
        <v>104</v>
      </c>
      <c r="J11" s="4" t="n">
        <v>63</v>
      </c>
      <c r="K11" s="4" t="n">
        <v>780</v>
      </c>
      <c r="L11" s="8" t="n">
        <v>5</v>
      </c>
      <c r="M11" s="5" t="s">
        <v>48</v>
      </c>
      <c r="N11" s="5" t="s">
        <v>49</v>
      </c>
    </row>
    <row r="12" customFormat="false" ht="27.75" hidden="false" customHeight="true" outlineLevel="0" collapsed="false">
      <c r="A12" s="6" t="s">
        <v>50</v>
      </c>
      <c r="B12" s="6" t="s">
        <v>22</v>
      </c>
      <c r="C12" s="7" t="s">
        <v>51</v>
      </c>
      <c r="D12" s="6" t="s">
        <v>18</v>
      </c>
      <c r="E12" s="6"/>
      <c r="F12" s="6" t="n">
        <v>4100</v>
      </c>
      <c r="G12" s="6" t="n">
        <v>287</v>
      </c>
      <c r="H12" s="6"/>
      <c r="I12" s="6" t="n">
        <v>78</v>
      </c>
      <c r="J12" s="6" t="n">
        <v>44</v>
      </c>
      <c r="K12" s="6" t="n">
        <v>520</v>
      </c>
      <c r="L12" s="6"/>
      <c r="M12" s="7" t="s">
        <v>52</v>
      </c>
      <c r="N12" s="7"/>
    </row>
    <row r="13" customFormat="false" ht="27.75" hidden="false" customHeight="true" outlineLevel="0" collapsed="false">
      <c r="A13" s="4" t="s">
        <v>53</v>
      </c>
      <c r="B13" s="4" t="s">
        <v>16</v>
      </c>
      <c r="C13" s="5" t="s">
        <v>54</v>
      </c>
      <c r="D13" s="4" t="s">
        <v>18</v>
      </c>
      <c r="E13" s="4" t="n">
        <v>3100</v>
      </c>
      <c r="F13" s="4" t="n">
        <v>2800</v>
      </c>
      <c r="G13" s="4" t="n">
        <v>44</v>
      </c>
      <c r="H13" s="4" t="n">
        <f aca="false">IFERROR(G13/E13,"")</f>
        <v>0.0141935483870968</v>
      </c>
      <c r="I13" s="4" t="n">
        <v>9</v>
      </c>
      <c r="J13" s="4" t="n">
        <v>5</v>
      </c>
      <c r="K13" s="4" t="n">
        <v>180</v>
      </c>
      <c r="L13" s="4" t="n">
        <v>2</v>
      </c>
      <c r="M13" s="5" t="s">
        <v>55</v>
      </c>
      <c r="N13" s="5" t="s">
        <v>56</v>
      </c>
    </row>
    <row r="14" customFormat="false" ht="27.75" hidden="false" customHeight="true" outlineLevel="0" collapsed="false">
      <c r="A14" s="6" t="s">
        <v>57</v>
      </c>
      <c r="B14" s="6" t="s">
        <v>16</v>
      </c>
      <c r="C14" s="7" t="s">
        <v>58</v>
      </c>
      <c r="D14" s="6" t="s">
        <v>18</v>
      </c>
      <c r="E14" s="6" t="n">
        <v>6700</v>
      </c>
      <c r="F14" s="6" t="n">
        <v>5900</v>
      </c>
      <c r="G14" s="6" t="n">
        <v>89</v>
      </c>
      <c r="H14" s="6" t="n">
        <f aca="false">IFERROR(G14/E14,"")</f>
        <v>0.0132835820895522</v>
      </c>
      <c r="I14" s="6" t="n">
        <v>31</v>
      </c>
      <c r="J14" s="6" t="n">
        <v>18</v>
      </c>
      <c r="K14" s="6" t="n">
        <v>340</v>
      </c>
      <c r="L14" s="6" t="n">
        <v>3</v>
      </c>
      <c r="M14" s="7" t="s">
        <v>59</v>
      </c>
      <c r="N14" s="7"/>
    </row>
    <row r="15" customFormat="false" ht="27.75" hidden="false" customHeight="true" outlineLevel="0" collapsed="false">
      <c r="A15" s="4" t="s">
        <v>60</v>
      </c>
      <c r="B15" s="4" t="s">
        <v>22</v>
      </c>
      <c r="C15" s="5" t="s">
        <v>61</v>
      </c>
      <c r="D15" s="4" t="s">
        <v>18</v>
      </c>
      <c r="E15" s="4"/>
      <c r="F15" s="4" t="n">
        <v>3700</v>
      </c>
      <c r="G15" s="4" t="n">
        <v>312</v>
      </c>
      <c r="H15" s="4"/>
      <c r="I15" s="4" t="n">
        <v>89</v>
      </c>
      <c r="J15" s="4" t="n">
        <v>52</v>
      </c>
      <c r="K15" s="4" t="n">
        <v>580</v>
      </c>
      <c r="L15" s="4"/>
      <c r="M15" s="5" t="s">
        <v>62</v>
      </c>
      <c r="N15" s="5"/>
    </row>
    <row r="16" customFormat="false" ht="27.75" hidden="false" customHeight="true" outlineLevel="0" collapsed="false">
      <c r="A16" s="6" t="s">
        <v>63</v>
      </c>
      <c r="B16" s="6" t="s">
        <v>16</v>
      </c>
      <c r="C16" s="7" t="s">
        <v>64</v>
      </c>
      <c r="D16" s="6" t="s">
        <v>18</v>
      </c>
      <c r="E16" s="6" t="n">
        <v>8900</v>
      </c>
      <c r="F16" s="6" t="n">
        <v>7600</v>
      </c>
      <c r="G16" s="6" t="n">
        <v>167</v>
      </c>
      <c r="H16" s="6" t="n">
        <f aca="false">IFERROR(G16/E16,"")</f>
        <v>0.0187640449438202</v>
      </c>
      <c r="I16" s="6" t="n">
        <v>49</v>
      </c>
      <c r="J16" s="6" t="n">
        <v>38</v>
      </c>
      <c r="K16" s="6" t="n">
        <v>430</v>
      </c>
      <c r="L16" s="6" t="n">
        <v>4</v>
      </c>
      <c r="M16" s="7"/>
      <c r="N16" s="7"/>
    </row>
    <row r="17" customFormat="false" ht="27.75" hidden="false" customHeight="true" outlineLevel="0" collapsed="false">
      <c r="A17" s="9" t="s">
        <v>65</v>
      </c>
      <c r="B17" s="9" t="s">
        <v>16</v>
      </c>
      <c r="C17" s="10" t="s">
        <v>66</v>
      </c>
      <c r="D17" s="9" t="s">
        <v>67</v>
      </c>
      <c r="E17" s="9"/>
      <c r="F17" s="9"/>
      <c r="G17" s="9"/>
      <c r="H17" s="9"/>
      <c r="I17" s="9"/>
      <c r="J17" s="9"/>
      <c r="K17" s="9"/>
      <c r="L17" s="9"/>
      <c r="M17" s="10" t="s">
        <v>68</v>
      </c>
      <c r="N17" s="10" t="s">
        <v>69</v>
      </c>
    </row>
    <row r="18" customFormat="false" ht="27.75" hidden="false" customHeight="true" outlineLevel="0" collapsed="false">
      <c r="A18" s="6" t="s">
        <v>70</v>
      </c>
      <c r="B18" s="6" t="s">
        <v>16</v>
      </c>
      <c r="C18" s="7" t="s">
        <v>71</v>
      </c>
      <c r="D18" s="6" t="s">
        <v>18</v>
      </c>
      <c r="E18" s="6" t="n">
        <v>11200</v>
      </c>
      <c r="F18" s="6" t="n">
        <v>9400</v>
      </c>
      <c r="G18" s="6" t="n">
        <v>234</v>
      </c>
      <c r="H18" s="6" t="n">
        <f aca="false">IFERROR(G18/E18,"")</f>
        <v>0.0208928571428571</v>
      </c>
      <c r="I18" s="6" t="n">
        <v>71</v>
      </c>
      <c r="J18" s="6" t="n">
        <v>44</v>
      </c>
      <c r="K18" s="6" t="n">
        <v>560</v>
      </c>
      <c r="L18" s="6" t="n">
        <v>4</v>
      </c>
      <c r="M18" s="7"/>
      <c r="N18" s="7"/>
    </row>
    <row r="19" customFormat="false" ht="27.75" hidden="false" customHeight="true" outlineLevel="0" collapsed="false">
      <c r="A19" s="4" t="s">
        <v>72</v>
      </c>
      <c r="B19" s="4" t="s">
        <v>22</v>
      </c>
      <c r="C19" s="5" t="s">
        <v>73</v>
      </c>
      <c r="D19" s="4" t="s">
        <v>18</v>
      </c>
      <c r="E19" s="4"/>
      <c r="F19" s="4" t="n">
        <v>4800</v>
      </c>
      <c r="G19" s="4" t="n">
        <v>341</v>
      </c>
      <c r="H19" s="4"/>
      <c r="I19" s="4" t="n">
        <v>95</v>
      </c>
      <c r="J19" s="4" t="n">
        <v>61</v>
      </c>
      <c r="K19" s="4" t="n">
        <v>610</v>
      </c>
      <c r="L19" s="4"/>
      <c r="M19" s="5" t="s">
        <v>74</v>
      </c>
      <c r="N19" s="5"/>
    </row>
    <row r="20" customFormat="false" ht="27.75" hidden="false" customHeight="true" outlineLevel="0" collapsed="false">
      <c r="A20" s="11" t="s">
        <v>75</v>
      </c>
      <c r="B20" s="11" t="s">
        <v>16</v>
      </c>
      <c r="C20" s="12" t="s">
        <v>76</v>
      </c>
      <c r="D20" s="11" t="s">
        <v>77</v>
      </c>
      <c r="E20" s="11"/>
      <c r="F20" s="11"/>
      <c r="G20" s="11"/>
      <c r="H20" s="11"/>
      <c r="I20" s="11"/>
      <c r="J20" s="11"/>
      <c r="K20" s="11"/>
      <c r="L20" s="11"/>
      <c r="M20" s="12" t="s">
        <v>78</v>
      </c>
      <c r="N20" s="12"/>
    </row>
    <row r="21" customFormat="false" ht="27.75" hidden="false" customHeight="true" outlineLevel="0" collapsed="false">
      <c r="A21" s="11" t="s">
        <v>79</v>
      </c>
      <c r="B21" s="11" t="s">
        <v>16</v>
      </c>
      <c r="C21" s="12" t="s">
        <v>76</v>
      </c>
      <c r="D21" s="11" t="s">
        <v>77</v>
      </c>
      <c r="E21" s="11"/>
      <c r="F21" s="11"/>
      <c r="G21" s="11"/>
      <c r="H21" s="11"/>
      <c r="I21" s="11"/>
      <c r="J21" s="11"/>
      <c r="K21" s="11"/>
      <c r="L21" s="11"/>
      <c r="M21" s="12"/>
      <c r="N21" s="12"/>
    </row>
    <row r="22" customFormat="false" ht="27.75" hidden="false" customHeight="true" outlineLevel="0" collapsed="false">
      <c r="A22" s="11" t="s">
        <v>80</v>
      </c>
      <c r="B22" s="11" t="s">
        <v>16</v>
      </c>
      <c r="C22" s="12" t="s">
        <v>81</v>
      </c>
      <c r="D22" s="11" t="s">
        <v>82</v>
      </c>
      <c r="E22" s="11"/>
      <c r="F22" s="11"/>
      <c r="G22" s="11"/>
      <c r="H22" s="11"/>
      <c r="I22" s="11"/>
      <c r="J22" s="11"/>
      <c r="K22" s="11"/>
      <c r="L22" s="11"/>
      <c r="M22" s="12"/>
      <c r="N22" s="12"/>
    </row>
    <row r="23" customFormat="false" ht="27.75" hidden="false" customHeight="true" outlineLevel="0" collapsed="false">
      <c r="A23" s="13" t="s">
        <v>83</v>
      </c>
      <c r="E23" s="14" t="n">
        <f aca="false">AVERAGE(E3:E22)</f>
        <v>8811.11111111111</v>
      </c>
      <c r="G23" s="14" t="n">
        <f aca="false">AVERAGE(G3:G22)</f>
        <v>209.142857142857</v>
      </c>
      <c r="I23" s="14" t="n">
        <f aca="false">AVERAGE(I3:I22)</f>
        <v>59.3571428571429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8"/>
  </cols>
  <sheetData>
    <row r="1" customFormat="false" ht="30" hidden="false" customHeight="true" outlineLevel="0" collapsed="false">
      <c r="A1" s="15" t="s">
        <v>84</v>
      </c>
      <c r="B1" s="15"/>
      <c r="C1" s="15"/>
      <c r="D1" s="15"/>
      <c r="E1" s="15"/>
      <c r="F1" s="15"/>
      <c r="G1" s="15"/>
    </row>
    <row r="2" customFormat="false" ht="19.5" hidden="false" customHeight="true" outlineLevel="0" collapsed="false">
      <c r="A2" s="16" t="s">
        <v>85</v>
      </c>
      <c r="B2" s="16"/>
      <c r="C2" s="16"/>
      <c r="D2" s="16"/>
      <c r="E2" s="16"/>
      <c r="F2" s="16"/>
      <c r="G2" s="16"/>
    </row>
    <row r="3" customFormat="false" ht="27.75" hidden="false" customHeight="true" outlineLevel="0" collapsed="false">
      <c r="A3" s="17" t="s">
        <v>86</v>
      </c>
      <c r="B3" s="17" t="s">
        <v>1</v>
      </c>
      <c r="C3" s="17" t="s">
        <v>2</v>
      </c>
      <c r="D3" s="17" t="s">
        <v>87</v>
      </c>
      <c r="E3" s="17" t="s">
        <v>88</v>
      </c>
      <c r="F3" s="17" t="s">
        <v>4</v>
      </c>
      <c r="G3" s="17" t="s">
        <v>89</v>
      </c>
    </row>
    <row r="4" customFormat="false" ht="25.5" hidden="false" customHeight="true" outlineLevel="0" collapsed="false">
      <c r="A4" s="18" t="s">
        <v>90</v>
      </c>
      <c r="B4" s="18" t="s">
        <v>91</v>
      </c>
      <c r="C4" s="18" t="s">
        <v>16</v>
      </c>
      <c r="D4" s="19" t="s">
        <v>92</v>
      </c>
      <c r="E4" s="18" t="s">
        <v>93</v>
      </c>
      <c r="F4" s="18" t="s">
        <v>94</v>
      </c>
      <c r="G4" s="19"/>
    </row>
    <row r="5" customFormat="false" ht="25.5" hidden="false" customHeight="true" outlineLevel="0" collapsed="false">
      <c r="A5" s="9" t="s">
        <v>90</v>
      </c>
      <c r="B5" s="9" t="s">
        <v>95</v>
      </c>
      <c r="C5" s="9" t="s">
        <v>22</v>
      </c>
      <c r="D5" s="10" t="s">
        <v>96</v>
      </c>
      <c r="E5" s="9" t="s">
        <v>97</v>
      </c>
      <c r="F5" s="9" t="s">
        <v>98</v>
      </c>
      <c r="G5" s="10"/>
    </row>
    <row r="6" customFormat="false" ht="25.5" hidden="false" customHeight="true" outlineLevel="0" collapsed="false">
      <c r="A6" s="4" t="s">
        <v>90</v>
      </c>
      <c r="B6" s="4" t="s">
        <v>99</v>
      </c>
      <c r="C6" s="4" t="s">
        <v>30</v>
      </c>
      <c r="D6" s="5" t="s">
        <v>100</v>
      </c>
      <c r="E6" s="4" t="s">
        <v>93</v>
      </c>
      <c r="F6" s="4" t="s">
        <v>101</v>
      </c>
      <c r="G6" s="5"/>
    </row>
    <row r="7" customFormat="false" ht="25.5" hidden="false" customHeight="true" outlineLevel="0" collapsed="false">
      <c r="A7" s="11" t="s">
        <v>102</v>
      </c>
      <c r="B7" s="11" t="s">
        <v>103</v>
      </c>
      <c r="C7" s="11" t="s">
        <v>16</v>
      </c>
      <c r="D7" s="12" t="s">
        <v>104</v>
      </c>
      <c r="E7" s="11" t="s">
        <v>93</v>
      </c>
      <c r="F7" s="11" t="s">
        <v>105</v>
      </c>
      <c r="G7" s="12"/>
    </row>
    <row r="8" customFormat="false" ht="25.5" hidden="false" customHeight="true" outlineLevel="0" collapsed="false">
      <c r="A8" s="11" t="s">
        <v>102</v>
      </c>
      <c r="B8" s="11" t="s">
        <v>106</v>
      </c>
      <c r="C8" s="11" t="s">
        <v>22</v>
      </c>
      <c r="D8" s="12" t="s">
        <v>107</v>
      </c>
      <c r="E8" s="11" t="s">
        <v>97</v>
      </c>
      <c r="F8" s="11" t="s">
        <v>105</v>
      </c>
      <c r="G8" s="12"/>
    </row>
    <row r="9" customFormat="false" ht="25.5" hidden="false" customHeight="true" outlineLevel="0" collapsed="false">
      <c r="A9" s="6" t="s">
        <v>102</v>
      </c>
      <c r="B9" s="6" t="s">
        <v>108</v>
      </c>
      <c r="C9" s="6" t="s">
        <v>30</v>
      </c>
      <c r="D9" s="7"/>
      <c r="E9" s="6" t="s">
        <v>93</v>
      </c>
      <c r="F9" s="6"/>
      <c r="G9" s="7"/>
    </row>
    <row r="10" customFormat="false" ht="25.5" hidden="false" customHeight="true" outlineLevel="0" collapsed="false">
      <c r="A10" s="4" t="s">
        <v>109</v>
      </c>
      <c r="B10" s="4" t="s">
        <v>110</v>
      </c>
      <c r="C10" s="4"/>
      <c r="D10" s="5"/>
      <c r="E10" s="4"/>
      <c r="F10" s="4"/>
      <c r="G10" s="5" t="s">
        <v>111</v>
      </c>
    </row>
    <row r="11" customFormat="false" ht="25.5" hidden="false" customHeight="true" outlineLevel="0" collapsed="false">
      <c r="A11" s="6" t="s">
        <v>109</v>
      </c>
      <c r="B11" s="6" t="s">
        <v>112</v>
      </c>
      <c r="C11" s="6"/>
      <c r="D11" s="7"/>
      <c r="E11" s="6"/>
      <c r="F11" s="6"/>
      <c r="G11" s="7"/>
    </row>
    <row r="12" customFormat="false" ht="25.5" hidden="false" customHeight="true" outlineLevel="0" collapsed="false">
      <c r="A12" s="4" t="s">
        <v>109</v>
      </c>
      <c r="B12" s="4" t="s">
        <v>113</v>
      </c>
      <c r="C12" s="4"/>
      <c r="D12" s="5"/>
      <c r="E12" s="4"/>
      <c r="F12" s="4"/>
      <c r="G12" s="5"/>
    </row>
    <row r="13" customFormat="false" ht="25.5" hidden="false" customHeight="true" outlineLevel="0" collapsed="false">
      <c r="A13" s="18" t="s">
        <v>114</v>
      </c>
      <c r="B13" s="18" t="s">
        <v>115</v>
      </c>
      <c r="C13" s="18" t="s">
        <v>16</v>
      </c>
      <c r="D13" s="19" t="s">
        <v>116</v>
      </c>
      <c r="E13" s="18" t="s">
        <v>93</v>
      </c>
      <c r="F13" s="18" t="s">
        <v>94</v>
      </c>
      <c r="G13" s="19"/>
    </row>
    <row r="14" customFormat="false" ht="25.5" hidden="false" customHeight="true" outlineLevel="0" collapsed="false">
      <c r="A14" s="11" t="s">
        <v>114</v>
      </c>
      <c r="B14" s="11" t="s">
        <v>117</v>
      </c>
      <c r="C14" s="11" t="s">
        <v>54</v>
      </c>
      <c r="D14" s="12" t="s">
        <v>81</v>
      </c>
      <c r="E14" s="11"/>
      <c r="F14" s="11" t="s">
        <v>105</v>
      </c>
      <c r="G14" s="12"/>
    </row>
    <row r="15" customFormat="false" ht="25.5" hidden="false" customHeight="true" outlineLevel="0" collapsed="false">
      <c r="A15" s="11" t="s">
        <v>114</v>
      </c>
      <c r="B15" s="11" t="s">
        <v>118</v>
      </c>
      <c r="C15" s="11"/>
      <c r="D15" s="12" t="s">
        <v>119</v>
      </c>
      <c r="E15" s="11"/>
      <c r="F15" s="11" t="s">
        <v>120</v>
      </c>
      <c r="G15" s="12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27.75" hidden="false" customHeight="true" outlineLevel="0" collapsed="false">
      <c r="A1" s="20" t="s">
        <v>121</v>
      </c>
      <c r="B1" s="20"/>
      <c r="C1" s="20"/>
      <c r="D1" s="20"/>
      <c r="E1" s="20"/>
      <c r="F1" s="20"/>
    </row>
    <row r="2" customFormat="false" ht="27.75" hidden="false" customHeight="true" outlineLevel="0" collapsed="false">
      <c r="A2" s="3" t="s">
        <v>122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13</v>
      </c>
    </row>
    <row r="3" customFormat="false" ht="30" hidden="false" customHeight="true" outlineLevel="0" collapsed="false">
      <c r="A3" s="5" t="s">
        <v>127</v>
      </c>
      <c r="B3" s="4" t="s">
        <v>16</v>
      </c>
      <c r="C3" s="8" t="n">
        <v>4</v>
      </c>
      <c r="D3" s="4" t="s">
        <v>128</v>
      </c>
      <c r="E3" s="4" t="s">
        <v>129</v>
      </c>
      <c r="F3" s="5" t="s">
        <v>130</v>
      </c>
    </row>
    <row r="4" customFormat="false" ht="30" hidden="false" customHeight="true" outlineLevel="0" collapsed="false">
      <c r="A4" s="7" t="s">
        <v>131</v>
      </c>
      <c r="B4" s="6" t="s">
        <v>132</v>
      </c>
      <c r="C4" s="6" t="n">
        <v>3</v>
      </c>
      <c r="D4" s="6" t="s">
        <v>133</v>
      </c>
      <c r="E4" s="6" t="s">
        <v>134</v>
      </c>
      <c r="F4" s="7" t="s">
        <v>135</v>
      </c>
    </row>
    <row r="5" customFormat="false" ht="30" hidden="false" customHeight="true" outlineLevel="0" collapsed="false">
      <c r="A5" s="5" t="s">
        <v>136</v>
      </c>
      <c r="B5" s="4" t="s">
        <v>137</v>
      </c>
      <c r="C5" s="4" t="n">
        <v>2</v>
      </c>
      <c r="D5" s="4" t="s">
        <v>138</v>
      </c>
      <c r="E5" s="4" t="s">
        <v>129</v>
      </c>
      <c r="F5" s="5" t="s">
        <v>139</v>
      </c>
    </row>
    <row r="6" customFormat="false" ht="30" hidden="false" customHeight="true" outlineLevel="0" collapsed="false">
      <c r="A6" s="7" t="s">
        <v>140</v>
      </c>
      <c r="B6" s="6" t="s">
        <v>141</v>
      </c>
      <c r="C6" s="8" t="n">
        <v>4</v>
      </c>
      <c r="D6" s="6" t="s">
        <v>142</v>
      </c>
      <c r="E6" s="6" t="s">
        <v>134</v>
      </c>
      <c r="F6" s="7" t="s">
        <v>143</v>
      </c>
    </row>
    <row r="7" customFormat="false" ht="30" hidden="false" customHeight="true" outlineLevel="0" collapsed="false">
      <c r="A7" s="5" t="s">
        <v>144</v>
      </c>
      <c r="B7" s="4" t="s">
        <v>16</v>
      </c>
      <c r="C7" s="8" t="n">
        <v>5</v>
      </c>
      <c r="D7" s="4" t="s">
        <v>138</v>
      </c>
      <c r="E7" s="4" t="s">
        <v>134</v>
      </c>
      <c r="F7" s="5" t="s">
        <v>145</v>
      </c>
    </row>
    <row r="8" customFormat="false" ht="30" hidden="false" customHeight="true" outlineLevel="0" collapsed="false">
      <c r="A8" s="7" t="s">
        <v>146</v>
      </c>
      <c r="B8" s="6" t="s">
        <v>147</v>
      </c>
      <c r="C8" s="8" t="n">
        <v>4</v>
      </c>
      <c r="D8" s="6" t="s">
        <v>148</v>
      </c>
      <c r="E8" s="6" t="s">
        <v>134</v>
      </c>
      <c r="F8" s="7" t="s">
        <v>149</v>
      </c>
    </row>
    <row r="9" customFormat="false" ht="30" hidden="false" customHeight="true" outlineLevel="0" collapsed="false">
      <c r="A9" s="5" t="s">
        <v>150</v>
      </c>
      <c r="B9" s="4" t="s">
        <v>16</v>
      </c>
      <c r="C9" s="4" t="n">
        <v>3</v>
      </c>
      <c r="D9" s="4" t="s">
        <v>151</v>
      </c>
      <c r="E9" s="4" t="s">
        <v>152</v>
      </c>
      <c r="F9" s="5" t="s">
        <v>153</v>
      </c>
    </row>
    <row r="10" customFormat="false" ht="30" hidden="false" customHeight="true" outlineLevel="0" collapsed="false">
      <c r="A10" s="7" t="s">
        <v>154</v>
      </c>
      <c r="B10" s="6" t="s">
        <v>16</v>
      </c>
      <c r="C10" s="8" t="n">
        <v>5</v>
      </c>
      <c r="D10" s="6" t="s">
        <v>155</v>
      </c>
      <c r="E10" s="6" t="s">
        <v>152</v>
      </c>
      <c r="F10" s="7" t="s">
        <v>156</v>
      </c>
    </row>
    <row r="11" customFormat="false" ht="30" hidden="false" customHeight="true" outlineLevel="0" collapsed="false">
      <c r="A11" s="5" t="s">
        <v>157</v>
      </c>
      <c r="B11" s="4" t="s">
        <v>22</v>
      </c>
      <c r="C11" s="11" t="s">
        <v>158</v>
      </c>
      <c r="D11" s="4" t="s">
        <v>159</v>
      </c>
      <c r="E11" s="4" t="s">
        <v>152</v>
      </c>
      <c r="F11" s="5" t="s">
        <v>160</v>
      </c>
    </row>
    <row r="12" customFormat="false" ht="30" hidden="false" customHeight="true" outlineLevel="0" collapsed="false">
      <c r="A12" s="7" t="s">
        <v>161</v>
      </c>
      <c r="B12" s="6" t="s">
        <v>22</v>
      </c>
      <c r="C12" s="8" t="n">
        <v>4</v>
      </c>
      <c r="D12" s="6" t="s">
        <v>138</v>
      </c>
      <c r="E12" s="6" t="s">
        <v>152</v>
      </c>
      <c r="F12" s="7" t="s">
        <v>162</v>
      </c>
    </row>
    <row r="13" customFormat="false" ht="30" hidden="false" customHeight="true" outlineLevel="0" collapsed="false">
      <c r="A13" s="5" t="s">
        <v>54</v>
      </c>
      <c r="B13" s="4" t="s">
        <v>54</v>
      </c>
      <c r="C13" s="11" t="s">
        <v>158</v>
      </c>
      <c r="D13" s="4" t="s">
        <v>158</v>
      </c>
      <c r="E13" s="4"/>
      <c r="F13" s="5" t="s">
        <v>163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2026-06-04T12:19:35Z</dcterms:created>
  <dc:creator>openpyxl</dc:creator>
  <dc:description/>
  <dc:language>en-US</dc:language>
  <cp:lastModifiedBy/>
  <dcterms:modified xsi:type="dcterms:W3CDTF">2026-06-04T12:19:58Z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